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I Calculator" sheetId="1" state="visible" r:id="rId3"/>
    <sheet name="Scale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<sst xmlns="http://schemas.openxmlformats.org/spreadsheetml/2006/main" count="83" uniqueCount="75">
  <si>
    <t xml:space="preserve">AP Automation — ROI Calculator</t>
  </si>
  <si>
    <t xml:space="preserve">Enter your figures in the yellow cells. All other cells calculate automatically.</t>
  </si>
  <si>
    <t xml:space="preserve">YOUR INPUTS</t>
  </si>
  <si>
    <t xml:space="preserve">Input</t>
  </si>
  <si>
    <t xml:space="preserve">Your Value</t>
  </si>
  <si>
    <t xml:space="preserve">Unit</t>
  </si>
  <si>
    <t xml:space="preserve">Notes</t>
  </si>
  <si>
    <t xml:space="preserve">Monthly invoice volume</t>
  </si>
  <si>
    <t xml:space="preserve">invoices/month</t>
  </si>
  <si>
    <t xml:space="preserve">Total non-PO invoices per month</t>
  </si>
  <si>
    <t xml:space="preserve">% that are non-PO</t>
  </si>
  <si>
    <t xml:space="preserve">%</t>
  </si>
  <si>
    <t xml:space="preserve">Typically 30-50% for mid-market</t>
  </si>
  <si>
    <t xml:space="preserve">Minutes per invoice (manual)</t>
  </si>
  <si>
    <t xml:space="preserve">minutes</t>
  </si>
  <si>
    <t xml:space="preserve">Average clerk time to code one invoice</t>
  </si>
  <si>
    <t xml:space="preserve">AP clerk fully-loaded cost</t>
  </si>
  <si>
    <t xml:space="preserve">£/year</t>
  </si>
  <si>
    <t xml:space="preserve">Salary + NI + benefits + overhead</t>
  </si>
  <si>
    <t xml:space="preserve">Working hours per year</t>
  </si>
  <si>
    <t xml:space="preserve">hours/year</t>
  </si>
  <si>
    <t xml:space="preserve">220 days x 8 hours</t>
  </si>
  <si>
    <t xml:space="preserve">POC automation rate</t>
  </si>
  <si>
    <t xml:space="preserve">Cold corpus (shuffled dataset result)</t>
  </si>
  <si>
    <t xml:space="preserve">Production automation rate (est.)</t>
  </si>
  <si>
    <t xml:space="preserve">Established vendors, 6-month corpus</t>
  </si>
  <si>
    <t xml:space="preserve">System infrastructure cost</t>
  </si>
  <si>
    <t xml:space="preserve">£/month</t>
  </si>
  <si>
    <t xml:space="preserve">At 10k invoices/month (see cost doc)</t>
  </si>
  <si>
    <t xml:space="preserve">COST ANALYSIS</t>
  </si>
  <si>
    <t xml:space="preserve">Item</t>
  </si>
  <si>
    <t xml:space="preserve">Monthly</t>
  </si>
  <si>
    <t xml:space="preserve">Annual</t>
  </si>
  <si>
    <t xml:space="preserve">Non-PO invoices per month</t>
  </si>
  <si>
    <t xml:space="preserve">total volume x pct non-PO</t>
  </si>
  <si>
    <t xml:space="preserve">Clerk hours spent coding (manual)</t>
  </si>
  <si>
    <t xml:space="preserve">invoices x mins per invoice / 60</t>
  </si>
  <si>
    <t xml:space="preserve">AP clerk hourly rate</t>
  </si>
  <si>
    <t xml:space="preserve">annual cost / working hours</t>
  </si>
  <si>
    <t xml:space="preserve">Manual coding cost (status quo)</t>
  </si>
  <si>
    <t xml:space="preserve">hours x hourly rate</t>
  </si>
  <si>
    <t xml:space="preserve">From inputs above</t>
  </si>
  <si>
    <t xml:space="preserve">SAVINGS ANALYSIS</t>
  </si>
  <si>
    <t xml:space="preserve">Scenario</t>
  </si>
  <si>
    <t xml:space="preserve">Monthly saving</t>
  </si>
  <si>
    <t xml:space="preserve">Annual saving</t>
  </si>
  <si>
    <t xml:space="preserve">POC result (cold corpus, 60% automation)</t>
  </si>
  <si>
    <t xml:space="preserve">Proven: 60% auto-post, 99% accuracy</t>
  </si>
  <si>
    <t xml:space="preserve">Production estimate (80% automation)</t>
  </si>
  <si>
    <t xml:space="preserve">Estimated: 80% auto-post at 6 months</t>
  </si>
  <si>
    <t xml:space="preserve">KEY METRICS</t>
  </si>
  <si>
    <t xml:space="preserve">Metric</t>
  </si>
  <si>
    <t xml:space="preserve">Value</t>
  </si>
  <si>
    <t xml:space="preserve">Proven result</t>
  </si>
  <si>
    <t xml:space="preserve">POC accuracy rate</t>
  </si>
  <si>
    <t xml:space="preserve">99% correct — verified in Langfuse</t>
  </si>
  <si>
    <t xml:space="preserve">False positive rate</t>
  </si>
  <si>
    <t xml:space="preserve">0 incorrect auto-posts</t>
  </si>
  <si>
    <t xml:space="preserve">Retrieval latency</t>
  </si>
  <si>
    <t xml:space="preserve">Sub-millisecond Qdrant retrieval</t>
  </si>
  <si>
    <t xml:space="preserve">Infrastructure cost per invoice</t>
  </si>
  <si>
    <t xml:space="preserve">At stated volume</t>
  </si>
  <si>
    <t xml:space="preserve">AP Automation — Scale Analysis</t>
  </si>
  <si>
    <t xml:space="preserve">Invoice Volume
(per month)</t>
  </si>
  <si>
    <t xml:space="preserve">Infrastructure
Cost (£/month)</t>
  </si>
  <si>
    <t xml:space="preserve">Manual Cost
(£/month, 40% non-PO)</t>
  </si>
  <si>
    <t xml:space="preserve">Saving at 80%
auto-post (£/month)</t>
  </si>
  <si>
    <t xml:space="preserve">ROI Multiple</t>
  </si>
  <si>
    <t xml:space="preserve">SME</t>
  </si>
  <si>
    <t xml:space="preserve">Small mid-market</t>
  </si>
  <si>
    <t xml:space="preserve">Mid-market (POC baseline)</t>
  </si>
  <si>
    <t xml:space="preserve">Large mid-market</t>
  </si>
  <si>
    <t xml:space="preserve">Enterprise</t>
  </si>
  <si>
    <t xml:space="preserve">Large enterprise</t>
  </si>
  <si>
    <t xml:space="preserve">Global enterprise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</si>
</sst>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#,##0.0"/>
    <numFmt numFmtId="168" formatCode="\£#,##0.00"/>
    <numFmt numFmtId="169" formatCode="\£#,##0"/>
    <numFmt numFmtId="170" formatCode="@"/>
    <numFmt numFmtId="171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8F8F6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8F8F6"/>
      <name val="Arial"/>
      <family val="0"/>
      <charset val="1"/>
    </font>
    <font>
      <b val="true"/>
      <sz val="9"/>
      <color rgb="FFF8F8F6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14"/>
      <color rgb="FFF8F8F6"/>
      <name val="Arial"/>
      <family val="0"/>
      <charset val="1"/>
    </font>
    <font>
      <b val="true"/>
      <sz val="11"/>
      <color rgb="FF065F4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2332"/>
        <bgColor rgb="FF333300"/>
      </patternFill>
    </fill>
    <fill>
      <patternFill patternType="solid">
        <fgColor rgb="FF2D7DD2"/>
        <bgColor rgb="FF0066CC"/>
      </patternFill>
    </fill>
    <fill>
      <patternFill patternType="solid">
        <fgColor rgb="FF4A5568"/>
        <bgColor rgb="FF6B7280"/>
      </patternFill>
    </fill>
    <fill>
      <patternFill patternType="solid">
        <fgColor rgb="FFFFFDE7"/>
        <bgColor rgb="FFF8F8F6"/>
      </patternFill>
    </fill>
    <fill>
      <patternFill patternType="solid">
        <fgColor rgb="FFD1FAE5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8F8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FFD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2D7DD2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4A5568"/>
      <rgbColor rgb="FF1A2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20"/>
    <col collapsed="false" customWidth="true" hidden="false" outlineLevel="0" max="4" min="4" style="1" width="25"/>
    <col collapsed="false" customWidth="true" hidden="false" outlineLevel="0" max="5" min="5" style="1" width="20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18" hidden="false" customHeight="true" outlineLevel="0" collapsed="false">
      <c r="A6" s="6" t="s">
        <v>7</v>
      </c>
      <c r="B6" s="7" t="n">
        <v>10000</v>
      </c>
      <c r="C6" s="6" t="s">
        <v>8</v>
      </c>
      <c r="D6" s="6" t="s">
        <v>9</v>
      </c>
    </row>
    <row r="7" customFormat="false" ht="18" hidden="false" customHeight="true" outlineLevel="0" collapsed="false">
      <c r="A7" s="6" t="s">
        <v>10</v>
      </c>
      <c r="B7" s="8" t="n">
        <v>0.4</v>
      </c>
      <c r="C7" s="6" t="s">
        <v>11</v>
      </c>
      <c r="D7" s="6" t="s">
        <v>12</v>
      </c>
    </row>
    <row r="8" customFormat="false" ht="18" hidden="false" customHeight="true" outlineLevel="0" collapsed="false">
      <c r="A8" s="6" t="s">
        <v>13</v>
      </c>
      <c r="B8" s="7" t="n">
        <v>3</v>
      </c>
      <c r="C8" s="6" t="s">
        <v>14</v>
      </c>
      <c r="D8" s="6" t="s">
        <v>15</v>
      </c>
    </row>
    <row r="9" customFormat="false" ht="18" hidden="false" customHeight="true" outlineLevel="0" collapsed="false">
      <c r="A9" s="6" t="s">
        <v>16</v>
      </c>
      <c r="B9" s="7" t="n">
        <v>35000</v>
      </c>
      <c r="C9" s="6" t="s">
        <v>17</v>
      </c>
      <c r="D9" s="6" t="s">
        <v>18</v>
      </c>
    </row>
    <row r="10" customFormat="false" ht="18" hidden="false" customHeight="true" outlineLevel="0" collapsed="false">
      <c r="A10" s="6" t="s">
        <v>19</v>
      </c>
      <c r="B10" s="7" t="n">
        <v>1760</v>
      </c>
      <c r="C10" s="6" t="s">
        <v>20</v>
      </c>
      <c r="D10" s="6" t="s">
        <v>21</v>
      </c>
    </row>
    <row r="11" customFormat="false" ht="18" hidden="false" customHeight="true" outlineLevel="0" collapsed="false">
      <c r="A11" s="6" t="s">
        <v>22</v>
      </c>
      <c r="B11" s="8" t="n">
        <v>0.6</v>
      </c>
      <c r="C11" s="6" t="s">
        <v>11</v>
      </c>
      <c r="D11" s="6" t="s">
        <v>23</v>
      </c>
    </row>
    <row r="12" customFormat="false" ht="18" hidden="false" customHeight="true" outlineLevel="0" collapsed="false">
      <c r="A12" s="6" t="s">
        <v>24</v>
      </c>
      <c r="B12" s="8" t="n">
        <v>0.8</v>
      </c>
      <c r="C12" s="6" t="s">
        <v>11</v>
      </c>
      <c r="D12" s="6" t="s">
        <v>25</v>
      </c>
    </row>
    <row r="13" customFormat="false" ht="18" hidden="false" customHeight="true" outlineLevel="0" collapsed="false">
      <c r="A13" s="6" t="s">
        <v>26</v>
      </c>
      <c r="B13" s="7" t="n">
        <v>300</v>
      </c>
      <c r="C13" s="6" t="s">
        <v>27</v>
      </c>
      <c r="D13" s="6" t="s">
        <v>28</v>
      </c>
    </row>
    <row r="15" customFormat="false" ht="15" hidden="false" customHeight="true" outlineLevel="0" collapsed="false">
      <c r="A15" s="4" t="s">
        <v>29</v>
      </c>
      <c r="B15" s="4"/>
      <c r="C15" s="4"/>
      <c r="D15" s="4"/>
      <c r="E15" s="4"/>
    </row>
    <row r="16" customFormat="false" ht="15" hidden="false" customHeight="true" outlineLevel="0" collapsed="false">
      <c r="A16" s="5" t="s">
        <v>30</v>
      </c>
      <c r="B16" s="5" t="s">
        <v>31</v>
      </c>
      <c r="C16" s="5" t="s">
        <v>32</v>
      </c>
      <c r="D16" s="5" t="s">
        <v>6</v>
      </c>
    </row>
    <row r="17" customFormat="false" ht="18" hidden="false" customHeight="true" outlineLevel="0" collapsed="false">
      <c r="A17" s="6" t="s">
        <v>33</v>
      </c>
      <c r="B17" s="9" t="n">
        <f aca="false">B6*B7</f>
        <v>4000</v>
      </c>
      <c r="C17" s="9" t="n">
        <f aca="false">B17*12</f>
        <v>48000</v>
      </c>
      <c r="D17" s="6" t="s">
        <v>34</v>
      </c>
    </row>
    <row r="18" customFormat="false" ht="18" hidden="false" customHeight="true" outlineLevel="0" collapsed="false">
      <c r="A18" s="6" t="s">
        <v>35</v>
      </c>
      <c r="B18" s="10" t="n">
        <f aca="false">B17*B8/60</f>
        <v>200</v>
      </c>
      <c r="C18" s="10" t="n">
        <f aca="false">B18*12</f>
        <v>2400</v>
      </c>
      <c r="D18" s="6" t="s">
        <v>36</v>
      </c>
    </row>
    <row r="19" customFormat="false" ht="18" hidden="false" customHeight="true" outlineLevel="0" collapsed="false">
      <c r="A19" s="6" t="s">
        <v>37</v>
      </c>
      <c r="B19" s="11" t="n">
        <f aca="false">B9/B10</f>
        <v>19.8863636363636</v>
      </c>
      <c r="C19" s="12" t="n">
        <f aca="false">B9</f>
        <v>35000</v>
      </c>
      <c r="D19" s="6" t="s">
        <v>38</v>
      </c>
    </row>
    <row r="20" customFormat="false" ht="18" hidden="false" customHeight="true" outlineLevel="0" collapsed="false">
      <c r="A20" s="6" t="s">
        <v>39</v>
      </c>
      <c r="B20" s="12" t="n">
        <f aca="false">B18*B19</f>
        <v>3977.27272727273</v>
      </c>
      <c r="C20" s="12" t="n">
        <f aca="false">C18*B19</f>
        <v>47727.2727272727</v>
      </c>
      <c r="D20" s="6" t="s">
        <v>40</v>
      </c>
    </row>
    <row r="21" customFormat="false" ht="18" hidden="false" customHeight="true" outlineLevel="0" collapsed="false">
      <c r="A21" s="6" t="s">
        <v>26</v>
      </c>
      <c r="B21" s="12" t="n">
        <f aca="false">B13</f>
        <v>300</v>
      </c>
      <c r="C21" s="12" t="n">
        <f aca="false">B21*12</f>
        <v>3600</v>
      </c>
      <c r="D21" s="6" t="s">
        <v>41</v>
      </c>
    </row>
    <row r="23" customFormat="false" ht="15" hidden="false" customHeight="true" outlineLevel="0" collapsed="false">
      <c r="A23" s="4" t="s">
        <v>42</v>
      </c>
      <c r="B23" s="4"/>
      <c r="C23" s="4"/>
      <c r="D23" s="4"/>
      <c r="E23" s="4"/>
    </row>
    <row r="24" customFormat="false" ht="15" hidden="false" customHeight="true" outlineLevel="0" collapsed="false">
      <c r="A24" s="5" t="s">
        <v>43</v>
      </c>
      <c r="B24" s="5" t="s">
        <v>44</v>
      </c>
      <c r="C24" s="5" t="s">
        <v>45</v>
      </c>
      <c r="D24" s="5" t="s">
        <v>6</v>
      </c>
    </row>
    <row r="25" customFormat="false" ht="19.5" hidden="false" customHeight="true" outlineLevel="0" collapsed="false">
      <c r="A25" s="6" t="s">
        <v>46</v>
      </c>
      <c r="B25" s="13" t="n">
        <f aca="false">B20*B11-B21</f>
        <v>2086.36363636364</v>
      </c>
      <c r="C25" s="13" t="n">
        <f aca="false">C20*B11-C21</f>
        <v>25036.3636363636</v>
      </c>
      <c r="D25" s="6" t="s">
        <v>47</v>
      </c>
    </row>
    <row r="26" customFormat="false" ht="19.5" hidden="false" customHeight="true" outlineLevel="0" collapsed="false">
      <c r="A26" s="6" t="s">
        <v>48</v>
      </c>
      <c r="B26" s="13" t="n">
        <f aca="false">B20*B12-B21</f>
        <v>2881.81818181818</v>
      </c>
      <c r="C26" s="13" t="n">
        <f aca="false">C20*B12-C21</f>
        <v>34581.8181818182</v>
      </c>
      <c r="D26" s="6" t="s">
        <v>49</v>
      </c>
    </row>
    <row r="28" customFormat="false" ht="15" hidden="false" customHeight="true" outlineLevel="0" collapsed="false">
      <c r="A28" s="4" t="s">
        <v>50</v>
      </c>
      <c r="B28" s="4"/>
      <c r="C28" s="4"/>
      <c r="D28" s="4"/>
      <c r="E28" s="4"/>
    </row>
    <row r="29" customFormat="false" ht="15" hidden="false" customHeight="true" outlineLevel="0" collapsed="false">
      <c r="A29" s="5" t="s">
        <v>51</v>
      </c>
      <c r="B29" s="5" t="s">
        <v>52</v>
      </c>
      <c r="D29" s="5" t="s">
        <v>6</v>
      </c>
    </row>
    <row r="30" customFormat="false" ht="18" hidden="false" customHeight="true" outlineLevel="0" collapsed="false">
      <c r="A30" s="6" t="s">
        <v>22</v>
      </c>
      <c r="B30" s="14" t="n">
        <f aca="false">B11</f>
        <v>0.6</v>
      </c>
      <c r="D30" s="6" t="s">
        <v>53</v>
      </c>
    </row>
    <row r="31" customFormat="false" ht="18" hidden="false" customHeight="true" outlineLevel="0" collapsed="false">
      <c r="A31" s="6" t="s">
        <v>54</v>
      </c>
      <c r="B31" s="14" t="n">
        <v>0.99</v>
      </c>
      <c r="D31" s="6" t="s">
        <v>55</v>
      </c>
    </row>
    <row r="32" customFormat="false" ht="18" hidden="false" customHeight="true" outlineLevel="0" collapsed="false">
      <c r="A32" s="6" t="s">
        <v>56</v>
      </c>
      <c r="B32" s="14" t="n">
        <v>0</v>
      </c>
      <c r="D32" s="6" t="s">
        <v>57</v>
      </c>
    </row>
    <row r="33" customFormat="false" ht="18" hidden="false" customHeight="true" outlineLevel="0" collapsed="false">
      <c r="A33" s="6" t="s">
        <v>58</v>
      </c>
      <c r="B33" s="15" t="n">
        <f aca="false">1</f>
        <v>1</v>
      </c>
      <c r="D33" s="6" t="s">
        <v>59</v>
      </c>
    </row>
    <row r="34" customFormat="false" ht="18" hidden="false" customHeight="true" outlineLevel="0" collapsed="false">
      <c r="A34" s="6" t="s">
        <v>60</v>
      </c>
      <c r="B34" s="16" t="n">
        <f aca="false">B13*100/B6/100</f>
        <v>0.03</v>
      </c>
      <c r="D34" s="6" t="s">
        <v>61</v>
      </c>
    </row>
  </sheetData>
  <mergeCells count="6">
    <mergeCell ref="A1:E1"/>
    <mergeCell ref="A2:E2"/>
    <mergeCell ref="A4:E4"/>
    <mergeCell ref="A15:E15"/>
    <mergeCell ref="A23:E23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20"/>
    <col collapsed="false" customWidth="true" hidden="false" outlineLevel="0" max="6" min="6" style="1" width="25"/>
  </cols>
  <sheetData>
    <row r="1" customFormat="false" ht="34.5" hidden="false" customHeight="true" outlineLevel="0" collapsed="false">
      <c r="A1" s="17" t="s">
        <v>62</v>
      </c>
      <c r="B1" s="17"/>
      <c r="C1" s="17"/>
      <c r="D1" s="17"/>
      <c r="E1" s="17"/>
      <c r="F1" s="17"/>
    </row>
    <row r="3" customFormat="false" ht="34.5" hidden="false" customHeight="true" outlineLevel="0" collapsed="false">
      <c r="A3" s="5" t="s">
        <v>63</v>
      </c>
      <c r="B3" s="5" t="s">
        <v>64</v>
      </c>
      <c r="C3" s="5" t="s">
        <v>65</v>
      </c>
      <c r="D3" s="5" t="s">
        <v>66</v>
      </c>
      <c r="E3" s="5" t="s">
        <v>67</v>
      </c>
      <c r="F3" s="5" t="s">
        <v>6</v>
      </c>
    </row>
    <row r="4" customFormat="false" ht="18" hidden="false" customHeight="true" outlineLevel="0" collapsed="false">
      <c r="A4" s="18" t="n">
        <v>1000</v>
      </c>
      <c r="B4" s="19" t="n">
        <v>150</v>
      </c>
      <c r="C4" s="19" t="n">
        <v>398</v>
      </c>
      <c r="D4" s="20" t="n">
        <v>168</v>
      </c>
      <c r="E4" s="21" t="n">
        <v>1.1</v>
      </c>
      <c r="F4" s="22" t="s">
        <v>68</v>
      </c>
    </row>
    <row r="5" customFormat="false" ht="18" hidden="false" customHeight="true" outlineLevel="0" collapsed="false">
      <c r="A5" s="18" t="n">
        <v>5000</v>
      </c>
      <c r="B5" s="19" t="n">
        <v>200</v>
      </c>
      <c r="C5" s="19" t="n">
        <v>1989</v>
      </c>
      <c r="D5" s="20" t="n">
        <v>1391</v>
      </c>
      <c r="E5" s="21" t="n">
        <v>7</v>
      </c>
      <c r="F5" s="22" t="s">
        <v>69</v>
      </c>
    </row>
    <row r="6" customFormat="false" ht="18" hidden="false" customHeight="true" outlineLevel="0" collapsed="false">
      <c r="A6" s="18" t="n">
        <v>10000</v>
      </c>
      <c r="B6" s="19" t="n">
        <v>300</v>
      </c>
      <c r="C6" s="19" t="n">
        <v>3977</v>
      </c>
      <c r="D6" s="20" t="n">
        <v>2882</v>
      </c>
      <c r="E6" s="21" t="n">
        <v>9.6</v>
      </c>
      <c r="F6" s="22" t="s">
        <v>70</v>
      </c>
    </row>
    <row r="7" customFormat="false" ht="18" hidden="false" customHeight="true" outlineLevel="0" collapsed="false">
      <c r="A7" s="18" t="n">
        <v>25000</v>
      </c>
      <c r="B7" s="19" t="n">
        <v>500</v>
      </c>
      <c r="C7" s="19" t="n">
        <v>9943</v>
      </c>
      <c r="D7" s="20" t="n">
        <v>7455</v>
      </c>
      <c r="E7" s="21" t="n">
        <v>14.9</v>
      </c>
      <c r="F7" s="22" t="s">
        <v>71</v>
      </c>
    </row>
    <row r="8" customFormat="false" ht="18" hidden="false" customHeight="true" outlineLevel="0" collapsed="false">
      <c r="A8" s="18" t="n">
        <v>50000</v>
      </c>
      <c r="B8" s="19" t="n">
        <v>800</v>
      </c>
      <c r="C8" s="19" t="n">
        <v>19886</v>
      </c>
      <c r="D8" s="20" t="n">
        <v>15109</v>
      </c>
      <c r="E8" s="21" t="n">
        <v>18.9</v>
      </c>
      <c r="F8" s="22" t="s">
        <v>72</v>
      </c>
    </row>
    <row r="9" customFormat="false" ht="18" hidden="false" customHeight="true" outlineLevel="0" collapsed="false">
      <c r="A9" s="18" t="n">
        <v>100000</v>
      </c>
      <c r="B9" s="19" t="n">
        <v>1200</v>
      </c>
      <c r="C9" s="19" t="n">
        <v>39773</v>
      </c>
      <c r="D9" s="20" t="n">
        <v>30618</v>
      </c>
      <c r="E9" s="21" t="n">
        <v>25.5</v>
      </c>
      <c r="F9" s="22" t="s">
        <v>73</v>
      </c>
    </row>
    <row r="10" customFormat="false" ht="18" hidden="false" customHeight="true" outlineLevel="0" collapsed="false">
      <c r="A10" s="18" t="n">
        <v>500000</v>
      </c>
      <c r="B10" s="19" t="n">
        <v>4000</v>
      </c>
      <c r="C10" s="19" t="n">
        <v>198864</v>
      </c>
      <c r="D10" s="20" t="n">
        <v>155091</v>
      </c>
      <c r="E10" s="21" t="n">
        <v>38.8</v>
      </c>
      <c r="F10" s="22" t="s">
        <v>74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2026-10-02T09:29:10Z</dcterms:created>
  <dc:creator>openpyxl</dc:creator>
  <dc:description/>
  <dc:language>en-US</dc:language>
  <cp:lastModifiedBy/>
  <dcterms:modified xsi:type="dcterms:W3CDTF">2026-10-02T09:29:46Z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